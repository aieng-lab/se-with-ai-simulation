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rbold\Downloads\"/>
    </mc:Choice>
  </mc:AlternateContent>
  <xr:revisionPtr revIDLastSave="0" documentId="8_{F8062450-C3B8-458A-B0BA-27FBC40C38E3}" xr6:coauthVersionLast="47" xr6:coauthVersionMax="47" xr10:uidLastSave="{00000000-0000-0000-0000-000000000000}"/>
  <bookViews>
    <workbookView xWindow="-110" yWindow="-110" windowWidth="38620" windowHeight="21100" xr2:uid="{A4FC8341-8B33-4922-B6A4-441FB9469BF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7" i="1" l="1"/>
  <c r="H36" i="1"/>
  <c r="H34" i="1"/>
  <c r="H33" i="1"/>
  <c r="H24" i="1"/>
  <c r="H23" i="1"/>
  <c r="H8" i="1"/>
  <c r="F6" i="1"/>
  <c r="H6" i="1"/>
</calcChain>
</file>

<file path=xl/sharedStrings.xml><?xml version="1.0" encoding="utf-8"?>
<sst xmlns="http://schemas.openxmlformats.org/spreadsheetml/2006/main" count="46" uniqueCount="19">
  <si>
    <t>Sec</t>
  </si>
  <si>
    <t>Others</t>
  </si>
  <si>
    <t>Ambari</t>
  </si>
  <si>
    <t>Camel</t>
  </si>
  <si>
    <t>Derby</t>
  </si>
  <si>
    <t>Wicket</t>
  </si>
  <si>
    <t>Anteil Sec:</t>
  </si>
  <si>
    <t>Bugs:</t>
  </si>
  <si>
    <t>All Issues Critical, Blocker, Major by Project</t>
  </si>
  <si>
    <t>Critical</t>
  </si>
  <si>
    <t>Blocker</t>
  </si>
  <si>
    <t>Major</t>
  </si>
  <si>
    <t>All Issues Minor, Trivial by Project</t>
  </si>
  <si>
    <t>Total:</t>
  </si>
  <si>
    <t>Minor</t>
  </si>
  <si>
    <t>Trivial</t>
  </si>
  <si>
    <t xml:space="preserve">Total: </t>
  </si>
  <si>
    <t>w/o Ambari:</t>
  </si>
  <si>
    <t>Anteil Major: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</si>
</sst>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BFE5-3583-45F7-A55C-386DF9C1DCEC}">
  <dimension ref="A1:H37"/>
  <sheetViews>
    <sheetView tabSelected="1" workbookViewId="0">
      <selection activeCell="H37" sqref="H37"/>
    </sheetView>
  </sheetViews>
  <sheetFormatPr baseColWidth="10" defaultRowHeight="14.5" x14ac:dyDescent="0.35"/>
  <sheetData>
    <row r="1" spans="1:8" x14ac:dyDescent="0.35">
      <c r="A1" t="s">
        <v>7</v>
      </c>
      <c r="B1" t="s">
        <v>1</v>
      </c>
      <c r="H1" t="s">
        <v>0</v>
      </c>
    </row>
    <row r="2" spans="1:8" x14ac:dyDescent="0.35">
      <c r="A2" t="s">
        <v>2</v>
      </c>
      <c r="B2">
        <v>266</v>
      </c>
      <c r="C2">
        <v>1</v>
      </c>
      <c r="D2">
        <v>6</v>
      </c>
      <c r="E2">
        <v>34</v>
      </c>
      <c r="F2">
        <v>8</v>
      </c>
      <c r="H2">
        <v>26</v>
      </c>
    </row>
    <row r="3" spans="1:8" x14ac:dyDescent="0.35">
      <c r="A3" t="s">
        <v>3</v>
      </c>
      <c r="B3">
        <v>230</v>
      </c>
      <c r="C3">
        <v>110</v>
      </c>
      <c r="D3">
        <v>6</v>
      </c>
      <c r="E3">
        <v>61</v>
      </c>
      <c r="F3">
        <v>47</v>
      </c>
      <c r="H3">
        <v>19</v>
      </c>
    </row>
    <row r="4" spans="1:8" x14ac:dyDescent="0.35">
      <c r="A4" t="s">
        <v>4</v>
      </c>
      <c r="B4">
        <v>111</v>
      </c>
      <c r="C4">
        <v>115</v>
      </c>
      <c r="D4">
        <v>19</v>
      </c>
      <c r="E4">
        <v>61</v>
      </c>
      <c r="F4">
        <v>194</v>
      </c>
      <c r="H4">
        <v>67</v>
      </c>
    </row>
    <row r="5" spans="1:8" x14ac:dyDescent="0.35">
      <c r="A5" t="s">
        <v>5</v>
      </c>
      <c r="B5">
        <v>242</v>
      </c>
      <c r="C5">
        <v>82</v>
      </c>
      <c r="D5">
        <v>3</v>
      </c>
      <c r="E5">
        <v>53</v>
      </c>
      <c r="F5">
        <v>60</v>
      </c>
      <c r="H5">
        <v>9</v>
      </c>
    </row>
    <row r="6" spans="1:8" x14ac:dyDescent="0.35">
      <c r="E6" t="s">
        <v>13</v>
      </c>
      <c r="F6">
        <f>SUM(B2:F5)</f>
        <v>1709</v>
      </c>
      <c r="G6" t="s">
        <v>13</v>
      </c>
      <c r="H6">
        <f>SUM(H2:H5)</f>
        <v>121</v>
      </c>
    </row>
    <row r="8" spans="1:8" x14ac:dyDescent="0.35">
      <c r="G8" t="s">
        <v>6</v>
      </c>
      <c r="H8">
        <f>H6/F6</f>
        <v>7.0801638385020474E-2</v>
      </c>
    </row>
    <row r="10" spans="1:8" x14ac:dyDescent="0.35">
      <c r="A10" t="s">
        <v>8</v>
      </c>
    </row>
    <row r="11" spans="1:8" x14ac:dyDescent="0.35">
      <c r="A11" t="s">
        <v>2</v>
      </c>
      <c r="B11" t="s">
        <v>9</v>
      </c>
      <c r="C11">
        <v>29</v>
      </c>
      <c r="D11">
        <v>0</v>
      </c>
      <c r="E11">
        <v>0</v>
      </c>
      <c r="F11">
        <v>3</v>
      </c>
      <c r="G11">
        <v>8</v>
      </c>
      <c r="H11">
        <v>0</v>
      </c>
    </row>
    <row r="12" spans="1:8" x14ac:dyDescent="0.35">
      <c r="B12" t="s">
        <v>10</v>
      </c>
      <c r="C12">
        <v>5</v>
      </c>
      <c r="D12">
        <v>0</v>
      </c>
      <c r="E12">
        <v>2</v>
      </c>
      <c r="F12">
        <v>1</v>
      </c>
      <c r="G12">
        <v>2</v>
      </c>
      <c r="H12">
        <v>2</v>
      </c>
    </row>
    <row r="13" spans="1:8" x14ac:dyDescent="0.35">
      <c r="B13" t="s">
        <v>11</v>
      </c>
      <c r="C13">
        <v>276</v>
      </c>
      <c r="D13">
        <v>2</v>
      </c>
      <c r="E13">
        <v>8</v>
      </c>
      <c r="F13">
        <v>24</v>
      </c>
      <c r="G13">
        <v>30</v>
      </c>
      <c r="H13">
        <v>5</v>
      </c>
    </row>
    <row r="14" spans="1:8" x14ac:dyDescent="0.35">
      <c r="A14" t="s">
        <v>3</v>
      </c>
      <c r="B14" t="s">
        <v>9</v>
      </c>
      <c r="C14">
        <v>10</v>
      </c>
      <c r="D14">
        <v>8</v>
      </c>
      <c r="E14">
        <v>2</v>
      </c>
      <c r="F14">
        <v>1</v>
      </c>
      <c r="G14">
        <v>7</v>
      </c>
      <c r="H14">
        <v>1</v>
      </c>
    </row>
    <row r="15" spans="1:8" x14ac:dyDescent="0.35">
      <c r="B15" t="s">
        <v>10</v>
      </c>
      <c r="C15">
        <v>2</v>
      </c>
      <c r="D15">
        <v>0</v>
      </c>
      <c r="E15">
        <v>0</v>
      </c>
      <c r="F15">
        <v>1</v>
      </c>
      <c r="G15">
        <v>0</v>
      </c>
      <c r="H15">
        <v>0</v>
      </c>
    </row>
    <row r="16" spans="1:8" x14ac:dyDescent="0.35">
      <c r="B16" t="s">
        <v>11</v>
      </c>
      <c r="C16">
        <v>227</v>
      </c>
      <c r="D16">
        <v>92</v>
      </c>
      <c r="E16">
        <v>9</v>
      </c>
      <c r="F16">
        <v>16</v>
      </c>
      <c r="G16">
        <v>65</v>
      </c>
      <c r="H16">
        <v>39</v>
      </c>
    </row>
    <row r="17" spans="1:8" x14ac:dyDescent="0.35">
      <c r="A17" t="s">
        <v>4</v>
      </c>
      <c r="B17" t="s">
        <v>9</v>
      </c>
      <c r="C17">
        <v>3</v>
      </c>
      <c r="D17">
        <v>4</v>
      </c>
      <c r="E17">
        <v>3</v>
      </c>
      <c r="F17">
        <v>0</v>
      </c>
      <c r="G17">
        <v>3</v>
      </c>
      <c r="H17">
        <v>6</v>
      </c>
    </row>
    <row r="18" spans="1:8" x14ac:dyDescent="0.35">
      <c r="B18" t="s">
        <v>10</v>
      </c>
      <c r="C18">
        <v>1</v>
      </c>
      <c r="D18">
        <v>3</v>
      </c>
      <c r="E18">
        <v>1</v>
      </c>
      <c r="F18">
        <v>0</v>
      </c>
      <c r="G18">
        <v>1</v>
      </c>
      <c r="H18">
        <v>4</v>
      </c>
    </row>
    <row r="19" spans="1:8" x14ac:dyDescent="0.35">
      <c r="B19" t="s">
        <v>11</v>
      </c>
      <c r="C19">
        <v>76</v>
      </c>
      <c r="D19">
        <v>85</v>
      </c>
      <c r="E19">
        <v>14</v>
      </c>
      <c r="F19">
        <v>61</v>
      </c>
      <c r="G19">
        <v>57</v>
      </c>
      <c r="H19">
        <v>140</v>
      </c>
    </row>
    <row r="20" spans="1:8" x14ac:dyDescent="0.35">
      <c r="A20" t="s">
        <v>5</v>
      </c>
      <c r="B20" t="s">
        <v>9</v>
      </c>
      <c r="C20">
        <v>7</v>
      </c>
      <c r="D20">
        <v>1</v>
      </c>
      <c r="E20">
        <v>0</v>
      </c>
      <c r="F20">
        <v>1</v>
      </c>
      <c r="G20">
        <v>4</v>
      </c>
      <c r="H20">
        <v>5</v>
      </c>
    </row>
    <row r="21" spans="1:8" x14ac:dyDescent="0.35">
      <c r="B21" t="s">
        <v>10</v>
      </c>
      <c r="C21">
        <v>0</v>
      </c>
      <c r="D21">
        <v>0</v>
      </c>
      <c r="E21">
        <v>1</v>
      </c>
      <c r="F21">
        <v>0</v>
      </c>
      <c r="G21">
        <v>1</v>
      </c>
      <c r="H21">
        <v>0</v>
      </c>
    </row>
    <row r="22" spans="1:8" x14ac:dyDescent="0.35">
      <c r="B22" t="s">
        <v>11</v>
      </c>
      <c r="C22">
        <v>227</v>
      </c>
      <c r="D22">
        <v>72</v>
      </c>
      <c r="E22">
        <v>2</v>
      </c>
      <c r="F22">
        <v>8</v>
      </c>
      <c r="G22">
        <v>62</v>
      </c>
      <c r="H22">
        <v>45</v>
      </c>
    </row>
    <row r="23" spans="1:8" x14ac:dyDescent="0.35">
      <c r="G23" t="s">
        <v>13</v>
      </c>
      <c r="H23">
        <f>SUM(C11:H22)</f>
        <v>1775</v>
      </c>
    </row>
    <row r="24" spans="1:8" x14ac:dyDescent="0.35">
      <c r="A24" t="s">
        <v>12</v>
      </c>
      <c r="G24" t="s">
        <v>17</v>
      </c>
      <c r="H24">
        <f>SUM(C14:C22)</f>
        <v>553</v>
      </c>
    </row>
    <row r="25" spans="1:8" x14ac:dyDescent="0.35">
      <c r="A25" t="s">
        <v>2</v>
      </c>
      <c r="B25" t="s">
        <v>14</v>
      </c>
      <c r="C25">
        <v>7</v>
      </c>
      <c r="D25">
        <v>0</v>
      </c>
      <c r="E25">
        <v>0</v>
      </c>
      <c r="F25">
        <v>0</v>
      </c>
      <c r="G25">
        <v>1</v>
      </c>
      <c r="H25">
        <v>0</v>
      </c>
    </row>
    <row r="26" spans="1:8" x14ac:dyDescent="0.35">
      <c r="B26" t="s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</row>
    <row r="27" spans="1:8" x14ac:dyDescent="0.35">
      <c r="A27" t="s">
        <v>3</v>
      </c>
      <c r="B27" t="s">
        <v>14</v>
      </c>
      <c r="C27">
        <v>137</v>
      </c>
      <c r="D27">
        <v>50</v>
      </c>
      <c r="E27">
        <v>6</v>
      </c>
      <c r="F27">
        <v>13</v>
      </c>
      <c r="G27">
        <v>21</v>
      </c>
      <c r="H27">
        <v>15</v>
      </c>
    </row>
    <row r="28" spans="1:8" x14ac:dyDescent="0.35">
      <c r="B28" t="s">
        <v>15</v>
      </c>
      <c r="C28">
        <v>11</v>
      </c>
      <c r="D28">
        <v>3</v>
      </c>
      <c r="E28">
        <v>1</v>
      </c>
      <c r="F28">
        <v>2</v>
      </c>
      <c r="G28">
        <v>1</v>
      </c>
      <c r="H28">
        <v>0</v>
      </c>
    </row>
    <row r="29" spans="1:8" x14ac:dyDescent="0.35">
      <c r="A29" t="s">
        <v>4</v>
      </c>
      <c r="B29" t="s">
        <v>14</v>
      </c>
      <c r="C29">
        <v>59</v>
      </c>
      <c r="D29">
        <v>36</v>
      </c>
      <c r="E29">
        <v>4</v>
      </c>
      <c r="F29">
        <v>27</v>
      </c>
      <c r="G29">
        <v>33</v>
      </c>
      <c r="H29">
        <v>44</v>
      </c>
    </row>
    <row r="30" spans="1:8" x14ac:dyDescent="0.35">
      <c r="B30" t="s">
        <v>15</v>
      </c>
      <c r="C30">
        <v>8</v>
      </c>
      <c r="D30">
        <v>9</v>
      </c>
      <c r="E30">
        <v>1</v>
      </c>
      <c r="F30">
        <v>0</v>
      </c>
      <c r="G30">
        <v>7</v>
      </c>
      <c r="H30">
        <v>3</v>
      </c>
    </row>
    <row r="31" spans="1:8" x14ac:dyDescent="0.35">
      <c r="A31" t="s">
        <v>5</v>
      </c>
      <c r="B31" t="s">
        <v>14</v>
      </c>
      <c r="C31">
        <v>103</v>
      </c>
      <c r="D31">
        <v>23</v>
      </c>
      <c r="E31">
        <v>1</v>
      </c>
      <c r="F31">
        <v>1</v>
      </c>
      <c r="G31">
        <v>15</v>
      </c>
      <c r="H31">
        <v>14</v>
      </c>
    </row>
    <row r="32" spans="1:8" x14ac:dyDescent="0.35">
      <c r="B32" t="s">
        <v>15</v>
      </c>
      <c r="C32">
        <v>22</v>
      </c>
      <c r="D32">
        <v>2</v>
      </c>
      <c r="E32">
        <v>1</v>
      </c>
      <c r="F32">
        <v>0</v>
      </c>
      <c r="G32">
        <v>1</v>
      </c>
      <c r="H32">
        <v>2</v>
      </c>
    </row>
    <row r="33" spans="7:8" x14ac:dyDescent="0.35">
      <c r="G33" t="s">
        <v>16</v>
      </c>
      <c r="H33">
        <f>SUM(C25:H32)</f>
        <v>685</v>
      </c>
    </row>
    <row r="34" spans="7:8" x14ac:dyDescent="0.35">
      <c r="G34" t="s">
        <v>17</v>
      </c>
      <c r="H34">
        <f>SUM(C27:H32)</f>
        <v>676</v>
      </c>
    </row>
    <row r="36" spans="7:8" x14ac:dyDescent="0.35">
      <c r="G36" t="s">
        <v>18</v>
      </c>
      <c r="H36">
        <f>H23/(H23+H33)</f>
        <v>0.72154471544715448</v>
      </c>
    </row>
    <row r="37" spans="7:8" x14ac:dyDescent="0.35">
      <c r="G37" t="s">
        <v>17</v>
      </c>
      <c r="H37">
        <f>H24/(H24+H34)</f>
        <v>0.44995931651749388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Herbold, Steffen</dc:creator>
  <cp:lastModifiedBy>Herbold, Steffen</cp:lastModifiedBy>
  <dcterms:created xsi:type="dcterms:W3CDTF">2026-07-28T15:12:58Z</dcterms:created>
  <dcterms:modified xsi:type="dcterms:W3CDTF">2026-07-28T15:26:13Z</dcterms:modified>
</cp:coreProperties>
</file>